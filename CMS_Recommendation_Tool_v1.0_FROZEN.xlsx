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2svn\Downloads\"/>
    </mc:Choice>
  </mc:AlternateContent>
  <xr:revisionPtr revIDLastSave="0" documentId="13_ncr:1_{B7B1F516-01AF-447F-8AA7-ABFE32EE5C3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MS Master Scores" sheetId="1" r:id="rId1"/>
    <sheet name="User Preferences" sheetId="2" r:id="rId2"/>
    <sheet name="Weighted Resul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" i="3" l="1" a="1"/>
  <c r="C21" i="3" s="1"/>
  <c r="D21" i="3" s="1"/>
  <c r="C20" i="3" a="1"/>
  <c r="C20" i="3" s="1"/>
  <c r="D20" i="3" s="1"/>
  <c r="C12" i="3" a="1"/>
  <c r="C12" i="3" s="1"/>
  <c r="D12" i="3" s="1"/>
  <c r="C9" i="3" a="1"/>
  <c r="C9" i="3" s="1"/>
  <c r="D9" i="3" s="1"/>
  <c r="C15" i="3" a="1"/>
  <c r="C15" i="3" s="1"/>
  <c r="D15" i="3" s="1"/>
  <c r="C8" i="3" a="1"/>
  <c r="C8" i="3" s="1"/>
  <c r="D8" i="3" s="1"/>
  <c r="C5" i="3" a="1"/>
  <c r="C5" i="3" s="1"/>
  <c r="D5" i="3" s="1"/>
  <c r="C4" i="3" a="1"/>
  <c r="C4" i="3" s="1"/>
  <c r="D4" i="3" s="1"/>
  <c r="C7" i="3" a="1"/>
  <c r="C7" i="3" s="1"/>
  <c r="D7" i="3" s="1"/>
  <c r="C6" i="3" a="1"/>
  <c r="C6" i="3" s="1"/>
  <c r="D6" i="3" s="1"/>
  <c r="C19" i="3" a="1"/>
  <c r="C19" i="3" s="1"/>
  <c r="D19" i="3" s="1"/>
  <c r="C11" i="3" a="1"/>
  <c r="C11" i="3" s="1"/>
  <c r="D11" i="3" s="1"/>
  <c r="C25" i="3" a="1"/>
  <c r="C25" i="3" s="1"/>
  <c r="D25" i="3" s="1"/>
  <c r="C24" i="3" a="1"/>
  <c r="C24" i="3" s="1"/>
  <c r="D24" i="3" s="1"/>
  <c r="C2" i="3" a="1"/>
  <c r="C2" i="3" s="1"/>
  <c r="D2" i="3" s="1"/>
  <c r="C10" i="3" a="1"/>
  <c r="C10" i="3" s="1"/>
  <c r="D10" i="3" s="1"/>
  <c r="C26" i="3" a="1"/>
  <c r="C26" i="3" s="1"/>
  <c r="D26" i="3" s="1"/>
  <c r="C22" i="3" a="1"/>
  <c r="C22" i="3" s="1"/>
  <c r="D22" i="3" s="1"/>
  <c r="C17" i="3" a="1"/>
  <c r="C17" i="3" s="1"/>
  <c r="D17" i="3" s="1"/>
  <c r="C23" i="3" a="1"/>
  <c r="C23" i="3" s="1"/>
  <c r="D23" i="3" s="1"/>
  <c r="C18" i="3" a="1"/>
  <c r="C18" i="3" s="1"/>
  <c r="D18" i="3" s="1"/>
  <c r="C3" i="3" a="1"/>
  <c r="C3" i="3" s="1"/>
  <c r="D3" i="3" s="1"/>
  <c r="C16" i="3" a="1"/>
  <c r="C16" i="3" s="1"/>
  <c r="D16" i="3" s="1"/>
  <c r="C14" i="3" a="1"/>
  <c r="C14" i="3" s="1"/>
  <c r="D14" i="3" s="1"/>
  <c r="C13" i="3" a="1"/>
  <c r="C13" i="3" s="1"/>
  <c r="D13" i="3" s="1"/>
  <c r="A21" i="3"/>
  <c r="A20" i="3"/>
  <c r="A12" i="3"/>
  <c r="A9" i="3"/>
  <c r="A15" i="3"/>
  <c r="A8" i="3"/>
  <c r="A5" i="3"/>
  <c r="A4" i="3"/>
  <c r="A7" i="3"/>
  <c r="A6" i="3"/>
  <c r="A19" i="3"/>
  <c r="A11" i="3"/>
  <c r="A25" i="3"/>
  <c r="A24" i="3"/>
  <c r="A2" i="3"/>
  <c r="A10" i="3"/>
  <c r="A26" i="3"/>
  <c r="A22" i="3"/>
  <c r="A17" i="3"/>
  <c r="A23" i="3"/>
  <c r="A18" i="3"/>
  <c r="A3" i="3"/>
  <c r="A16" i="3"/>
  <c r="A14" i="3"/>
  <c r="A1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<sst xmlns="http://schemas.openxmlformats.org/spreadsheetml/2006/main" count="95" uniqueCount="64">
  <si>
    <t>CMS</t>
  </si>
  <si>
    <t>License Cost</t>
  </si>
  <si>
    <t>Security</t>
  </si>
  <si>
    <t>Ease of Use (Authors)</t>
  </si>
  <si>
    <t>Learning Curve (Developers)</t>
  </si>
  <si>
    <t>Setup Time</t>
  </si>
  <si>
    <t>Cloud Support</t>
  </si>
  <si>
    <t>Extensibility</t>
  </si>
  <si>
    <t>Performance &amp; Scalability</t>
  </si>
  <si>
    <t>Headless Capability</t>
  </si>
  <si>
    <t>Multilingual Support</t>
  </si>
  <si>
    <t>Workflow &amp; Governance</t>
  </si>
  <si>
    <t>Upgrade &amp; Maintenance Effort</t>
  </si>
  <si>
    <t>Vendor Lock-in Risk</t>
  </si>
  <si>
    <t>Ecosystem &amp; Talent Availability</t>
  </si>
  <si>
    <t>Market Resource Availability</t>
  </si>
  <si>
    <t>Version</t>
  </si>
  <si>
    <t>v1.0 (Scores Frozen – USA + India)</t>
  </si>
  <si>
    <t>Adobe Experience Manager (AEM)</t>
  </si>
  <si>
    <t>Status</t>
  </si>
  <si>
    <t>Baseline scoring frozen</t>
  </si>
  <si>
    <t>Sitecore</t>
  </si>
  <si>
    <t>Optimizely (Episerver)</t>
  </si>
  <si>
    <t>Acquia Drupal</t>
  </si>
  <si>
    <t>Bloomreach</t>
  </si>
  <si>
    <t>Crownpeak</t>
  </si>
  <si>
    <t>Liferay DXP</t>
  </si>
  <si>
    <t>Kentico Xperience</t>
  </si>
  <si>
    <t>OpenText TeamSite</t>
  </si>
  <si>
    <t>WordPress</t>
  </si>
  <si>
    <t>Drupal (Community)</t>
  </si>
  <si>
    <t>Joomla</t>
  </si>
  <si>
    <t>TYPO3</t>
  </si>
  <si>
    <t>Umbraco</t>
  </si>
  <si>
    <t>Ghost</t>
  </si>
  <si>
    <t>Contentful</t>
  </si>
  <si>
    <t>Strapi</t>
  </si>
  <si>
    <t>Sanity</t>
  </si>
  <si>
    <t>Storyblok</t>
  </si>
  <si>
    <t>Hygraph (GraphCMS)</t>
  </si>
  <si>
    <t>Prismic</t>
  </si>
  <si>
    <t>Directus</t>
  </si>
  <si>
    <t>Webflow CMS</t>
  </si>
  <si>
    <t>Squarespace</t>
  </si>
  <si>
    <t>Wix</t>
  </si>
  <si>
    <t>Parameter</t>
  </si>
  <si>
    <t>Impact (1-Low, 2-Medium, 3-High)</t>
  </si>
  <si>
    <t>CMS Type</t>
  </si>
  <si>
    <t>Total Weighted Score</t>
  </si>
  <si>
    <t>Normalized Score</t>
  </si>
  <si>
    <t>Enterprise, Hybrid</t>
  </si>
  <si>
    <t>Enterprise, Open Source, Hybrid</t>
  </si>
  <si>
    <t>Enterprise, Headless</t>
  </si>
  <si>
    <t>Enterprise, SaaS</t>
  </si>
  <si>
    <t>Enterprise, Open Source</t>
  </si>
  <si>
    <t>Enterprise</t>
  </si>
  <si>
    <t>Open Source, Traditional</t>
  </si>
  <si>
    <t>Open Source, Traditional, Headless</t>
  </si>
  <si>
    <t>Open Source, Enterprise-friendly</t>
  </si>
  <si>
    <t>Open Source, Hybrid</t>
  </si>
  <si>
    <t>Open Source, SaaS</t>
  </si>
  <si>
    <t>Headless, SaaS</t>
  </si>
  <si>
    <t>Headless, Open Source</t>
  </si>
  <si>
    <t>SaaS, No-Code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</si>
</sst>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workbookViewId="0">
      <selection activeCell="Q6" sqref="Q6"/>
    </sheetView>
  </sheetViews>
  <sheetFormatPr defaultRowHeight="14.5" x14ac:dyDescent="0.35"/>
  <cols>
    <col min="1" max="1" width="22.6328125" customWidth="1"/>
    <col min="16" max="16" width="24.453125" customWidth="1"/>
    <col min="17" max="17" width="16.36328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18</v>
      </c>
      <c r="B2">
        <v>1</v>
      </c>
      <c r="C2">
        <v>5</v>
      </c>
      <c r="D2">
        <v>3</v>
      </c>
      <c r="E2">
        <v>2</v>
      </c>
      <c r="F2">
        <v>2</v>
      </c>
      <c r="G2">
        <v>5</v>
      </c>
      <c r="H2">
        <v>5</v>
      </c>
      <c r="I2">
        <v>5</v>
      </c>
      <c r="J2">
        <v>4</v>
      </c>
      <c r="K2">
        <v>5</v>
      </c>
      <c r="L2">
        <v>5</v>
      </c>
      <c r="M2">
        <v>2</v>
      </c>
      <c r="N2">
        <v>5</v>
      </c>
      <c r="O2">
        <v>4</v>
      </c>
      <c r="P2">
        <v>4</v>
      </c>
    </row>
    <row r="3" spans="1:16" x14ac:dyDescent="0.35">
      <c r="A3" t="s">
        <v>21</v>
      </c>
      <c r="B3">
        <v>1</v>
      </c>
      <c r="C3">
        <v>5</v>
      </c>
      <c r="D3">
        <v>3</v>
      </c>
      <c r="E3">
        <v>2</v>
      </c>
      <c r="F3">
        <v>2</v>
      </c>
      <c r="G3">
        <v>5</v>
      </c>
      <c r="H3">
        <v>5</v>
      </c>
      <c r="I3">
        <v>5</v>
      </c>
      <c r="J3">
        <v>4</v>
      </c>
      <c r="K3">
        <v>5</v>
      </c>
      <c r="L3">
        <v>5</v>
      </c>
      <c r="M3">
        <v>2</v>
      </c>
      <c r="N3">
        <v>5</v>
      </c>
      <c r="O3">
        <v>4</v>
      </c>
      <c r="P3">
        <v>4</v>
      </c>
    </row>
    <row r="4" spans="1:16" x14ac:dyDescent="0.35">
      <c r="A4" t="s">
        <v>22</v>
      </c>
      <c r="B4">
        <v>1</v>
      </c>
      <c r="C4">
        <v>5</v>
      </c>
      <c r="D4">
        <v>4</v>
      </c>
      <c r="E4">
        <v>3</v>
      </c>
      <c r="F4">
        <v>3</v>
      </c>
      <c r="G4">
        <v>5</v>
      </c>
      <c r="H4">
        <v>4</v>
      </c>
      <c r="I4">
        <v>5</v>
      </c>
      <c r="J4">
        <v>4</v>
      </c>
      <c r="K4">
        <v>4</v>
      </c>
      <c r="L4">
        <v>4</v>
      </c>
      <c r="M4">
        <v>3</v>
      </c>
      <c r="N4">
        <v>4</v>
      </c>
      <c r="O4">
        <v>3</v>
      </c>
      <c r="P4">
        <v>3</v>
      </c>
    </row>
    <row r="5" spans="1:16" x14ac:dyDescent="0.35">
      <c r="A5" t="s">
        <v>23</v>
      </c>
      <c r="B5">
        <v>2</v>
      </c>
      <c r="C5">
        <v>5</v>
      </c>
      <c r="D5">
        <v>3</v>
      </c>
      <c r="E5">
        <v>3</v>
      </c>
      <c r="F5">
        <v>3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3</v>
      </c>
      <c r="N5">
        <v>5</v>
      </c>
      <c r="O5">
        <v>5</v>
      </c>
      <c r="P5">
        <v>5</v>
      </c>
    </row>
    <row r="6" spans="1:16" x14ac:dyDescent="0.35">
      <c r="A6" t="s">
        <v>24</v>
      </c>
      <c r="B6">
        <v>1</v>
      </c>
      <c r="C6">
        <v>5</v>
      </c>
      <c r="D6">
        <v>3</v>
      </c>
      <c r="E6">
        <v>3</v>
      </c>
      <c r="F6">
        <v>2</v>
      </c>
      <c r="G6">
        <v>5</v>
      </c>
      <c r="H6">
        <v>4</v>
      </c>
      <c r="I6">
        <v>5</v>
      </c>
      <c r="J6">
        <v>5</v>
      </c>
      <c r="K6">
        <v>4</v>
      </c>
      <c r="L6">
        <v>4</v>
      </c>
      <c r="M6">
        <v>3</v>
      </c>
      <c r="N6">
        <v>4</v>
      </c>
      <c r="O6">
        <v>3</v>
      </c>
      <c r="P6">
        <v>3</v>
      </c>
    </row>
    <row r="7" spans="1:16" x14ac:dyDescent="0.35">
      <c r="A7" t="s">
        <v>25</v>
      </c>
      <c r="B7">
        <v>1</v>
      </c>
      <c r="C7">
        <v>5</v>
      </c>
      <c r="D7">
        <v>4</v>
      </c>
      <c r="E7">
        <v>4</v>
      </c>
      <c r="F7">
        <v>3</v>
      </c>
      <c r="G7">
        <v>5</v>
      </c>
      <c r="H7">
        <v>3</v>
      </c>
      <c r="I7">
        <v>4</v>
      </c>
      <c r="J7">
        <v>4</v>
      </c>
      <c r="K7">
        <v>4</v>
      </c>
      <c r="L7">
        <v>4</v>
      </c>
      <c r="M7">
        <v>3</v>
      </c>
      <c r="N7">
        <v>3</v>
      </c>
      <c r="O7">
        <v>2</v>
      </c>
      <c r="P7">
        <v>2</v>
      </c>
    </row>
    <row r="8" spans="1:16" x14ac:dyDescent="0.35">
      <c r="A8" t="s">
        <v>26</v>
      </c>
      <c r="B8">
        <v>2</v>
      </c>
      <c r="C8">
        <v>5</v>
      </c>
      <c r="D8">
        <v>3</v>
      </c>
      <c r="E8">
        <v>3</v>
      </c>
      <c r="F8">
        <v>3</v>
      </c>
      <c r="G8">
        <v>4</v>
      </c>
      <c r="H8">
        <v>5</v>
      </c>
      <c r="I8">
        <v>4</v>
      </c>
      <c r="J8">
        <v>3</v>
      </c>
      <c r="K8">
        <v>4</v>
      </c>
      <c r="L8">
        <v>5</v>
      </c>
      <c r="M8">
        <v>3</v>
      </c>
      <c r="N8">
        <v>4</v>
      </c>
      <c r="O8">
        <v>4</v>
      </c>
      <c r="P8">
        <v>3</v>
      </c>
    </row>
    <row r="9" spans="1:16" x14ac:dyDescent="0.35">
      <c r="A9" t="s">
        <v>27</v>
      </c>
      <c r="B9">
        <v>2</v>
      </c>
      <c r="C9">
        <v>4</v>
      </c>
      <c r="D9">
        <v>4</v>
      </c>
      <c r="E9">
        <v>3</v>
      </c>
      <c r="F9">
        <v>3</v>
      </c>
      <c r="G9">
        <v>4</v>
      </c>
      <c r="H9">
        <v>4</v>
      </c>
      <c r="I9">
        <v>4</v>
      </c>
      <c r="J9">
        <v>3</v>
      </c>
      <c r="K9">
        <v>4</v>
      </c>
      <c r="L9">
        <v>4</v>
      </c>
      <c r="M9">
        <v>3</v>
      </c>
      <c r="N9">
        <v>4</v>
      </c>
      <c r="O9">
        <v>3</v>
      </c>
      <c r="P9">
        <v>3</v>
      </c>
    </row>
    <row r="10" spans="1:16" x14ac:dyDescent="0.35">
      <c r="A10" t="s">
        <v>28</v>
      </c>
      <c r="B10">
        <v>1</v>
      </c>
      <c r="C10">
        <v>5</v>
      </c>
      <c r="D10">
        <v>2</v>
      </c>
      <c r="E10">
        <v>2</v>
      </c>
      <c r="F10">
        <v>2</v>
      </c>
      <c r="G10">
        <v>3</v>
      </c>
      <c r="H10">
        <v>3</v>
      </c>
      <c r="I10">
        <v>4</v>
      </c>
      <c r="J10">
        <v>2</v>
      </c>
      <c r="K10">
        <v>4</v>
      </c>
      <c r="L10">
        <v>4</v>
      </c>
      <c r="M10">
        <v>2</v>
      </c>
      <c r="N10">
        <v>3</v>
      </c>
      <c r="O10">
        <v>2</v>
      </c>
      <c r="P10">
        <v>2</v>
      </c>
    </row>
    <row r="11" spans="1:16" x14ac:dyDescent="0.35">
      <c r="A11" t="s">
        <v>29</v>
      </c>
      <c r="B11">
        <v>5</v>
      </c>
      <c r="C11">
        <v>3</v>
      </c>
      <c r="D11">
        <v>5</v>
      </c>
      <c r="E11">
        <v>4</v>
      </c>
      <c r="F11">
        <v>5</v>
      </c>
      <c r="G11">
        <v>4</v>
      </c>
      <c r="H11">
        <v>4</v>
      </c>
      <c r="I11">
        <v>3</v>
      </c>
      <c r="J11">
        <v>2</v>
      </c>
      <c r="K11">
        <v>4</v>
      </c>
      <c r="L11">
        <v>3</v>
      </c>
      <c r="M11">
        <v>4</v>
      </c>
      <c r="N11">
        <v>5</v>
      </c>
      <c r="O11">
        <v>5</v>
      </c>
      <c r="P11">
        <v>5</v>
      </c>
    </row>
    <row r="12" spans="1:16" x14ac:dyDescent="0.35">
      <c r="A12" t="s">
        <v>30</v>
      </c>
      <c r="B12">
        <v>5</v>
      </c>
      <c r="C12">
        <v>5</v>
      </c>
      <c r="D12">
        <v>3</v>
      </c>
      <c r="E12">
        <v>3</v>
      </c>
      <c r="F12">
        <v>3</v>
      </c>
      <c r="G12">
        <v>4</v>
      </c>
      <c r="H12">
        <v>5</v>
      </c>
      <c r="I12">
        <v>4</v>
      </c>
      <c r="J12">
        <v>5</v>
      </c>
      <c r="K12">
        <v>5</v>
      </c>
      <c r="L12">
        <v>5</v>
      </c>
      <c r="M12">
        <v>3</v>
      </c>
      <c r="N12">
        <v>5</v>
      </c>
      <c r="O12">
        <v>5</v>
      </c>
      <c r="P12">
        <v>5</v>
      </c>
    </row>
    <row r="13" spans="1:16" x14ac:dyDescent="0.35">
      <c r="A13" t="s">
        <v>31</v>
      </c>
      <c r="B13">
        <v>5</v>
      </c>
      <c r="C13">
        <v>3</v>
      </c>
      <c r="D13">
        <v>4</v>
      </c>
      <c r="E13">
        <v>3</v>
      </c>
      <c r="F13">
        <v>4</v>
      </c>
      <c r="G13">
        <v>3</v>
      </c>
      <c r="H13">
        <v>3</v>
      </c>
      <c r="I13">
        <v>3</v>
      </c>
      <c r="J13">
        <v>2</v>
      </c>
      <c r="K13">
        <v>3</v>
      </c>
      <c r="L13">
        <v>3</v>
      </c>
      <c r="M13">
        <v>4</v>
      </c>
      <c r="N13">
        <v>3</v>
      </c>
      <c r="O13">
        <v>4</v>
      </c>
      <c r="P13">
        <v>4</v>
      </c>
    </row>
    <row r="14" spans="1:16" x14ac:dyDescent="0.35">
      <c r="A14" t="s">
        <v>32</v>
      </c>
      <c r="B14">
        <v>5</v>
      </c>
      <c r="C14">
        <v>5</v>
      </c>
      <c r="D14">
        <v>3</v>
      </c>
      <c r="E14">
        <v>2</v>
      </c>
      <c r="F14">
        <v>2</v>
      </c>
      <c r="G14">
        <v>3</v>
      </c>
      <c r="H14">
        <v>4</v>
      </c>
      <c r="I14">
        <v>4</v>
      </c>
      <c r="J14">
        <v>2</v>
      </c>
      <c r="K14">
        <v>5</v>
      </c>
      <c r="L14">
        <v>4</v>
      </c>
      <c r="M14">
        <v>3</v>
      </c>
      <c r="N14">
        <v>3</v>
      </c>
      <c r="O14">
        <v>3</v>
      </c>
      <c r="P14">
        <v>3</v>
      </c>
    </row>
    <row r="15" spans="1:16" x14ac:dyDescent="0.35">
      <c r="A15" t="s">
        <v>33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>
        <v>4</v>
      </c>
      <c r="J15">
        <v>3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</row>
    <row r="16" spans="1:16" x14ac:dyDescent="0.35">
      <c r="A16" t="s">
        <v>34</v>
      </c>
      <c r="B16">
        <v>5</v>
      </c>
      <c r="C16">
        <v>4</v>
      </c>
      <c r="D16">
        <v>5</v>
      </c>
      <c r="E16">
        <v>4</v>
      </c>
      <c r="F16">
        <v>5</v>
      </c>
      <c r="G16">
        <v>5</v>
      </c>
      <c r="H16">
        <v>2</v>
      </c>
      <c r="I16">
        <v>4</v>
      </c>
      <c r="J16">
        <v>2</v>
      </c>
      <c r="K16">
        <v>3</v>
      </c>
      <c r="L16">
        <v>3</v>
      </c>
      <c r="M16">
        <v>4</v>
      </c>
      <c r="N16">
        <v>2</v>
      </c>
      <c r="O16">
        <v>3</v>
      </c>
      <c r="P16">
        <v>3</v>
      </c>
    </row>
    <row r="17" spans="1:16" x14ac:dyDescent="0.35">
      <c r="A17" t="s">
        <v>35</v>
      </c>
      <c r="B17">
        <v>3</v>
      </c>
      <c r="C17">
        <v>5</v>
      </c>
      <c r="D17">
        <v>4</v>
      </c>
      <c r="E17">
        <v>4</v>
      </c>
      <c r="F17">
        <v>4</v>
      </c>
      <c r="G17">
        <v>5</v>
      </c>
      <c r="H17">
        <v>4</v>
      </c>
      <c r="I17">
        <v>5</v>
      </c>
      <c r="J17">
        <v>5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</row>
    <row r="18" spans="1:16" x14ac:dyDescent="0.35">
      <c r="A18" t="s">
        <v>36</v>
      </c>
      <c r="B18">
        <v>5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5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</row>
    <row r="19" spans="1:16" x14ac:dyDescent="0.35">
      <c r="A19" t="s">
        <v>37</v>
      </c>
      <c r="B19">
        <v>4</v>
      </c>
      <c r="C19">
        <v>5</v>
      </c>
      <c r="D19">
        <v>4</v>
      </c>
      <c r="E19">
        <v>4</v>
      </c>
      <c r="F19">
        <v>4</v>
      </c>
      <c r="G19">
        <v>5</v>
      </c>
      <c r="H19">
        <v>4</v>
      </c>
      <c r="I19">
        <v>5</v>
      </c>
      <c r="J19">
        <v>5</v>
      </c>
      <c r="K19">
        <v>4</v>
      </c>
      <c r="L19">
        <v>4</v>
      </c>
      <c r="M19">
        <v>4</v>
      </c>
      <c r="N19">
        <v>4</v>
      </c>
      <c r="O19">
        <v>4</v>
      </c>
      <c r="P19">
        <v>4</v>
      </c>
    </row>
    <row r="20" spans="1:16" x14ac:dyDescent="0.35">
      <c r="A20" t="s">
        <v>38</v>
      </c>
      <c r="B20">
        <v>4</v>
      </c>
      <c r="C20">
        <v>5</v>
      </c>
      <c r="D20">
        <v>4</v>
      </c>
      <c r="E20">
        <v>4</v>
      </c>
      <c r="F20">
        <v>4</v>
      </c>
      <c r="G20">
        <v>5</v>
      </c>
      <c r="H20">
        <v>4</v>
      </c>
      <c r="I20">
        <v>5</v>
      </c>
      <c r="J20">
        <v>5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</row>
    <row r="21" spans="1:16" x14ac:dyDescent="0.35">
      <c r="A21" t="s">
        <v>39</v>
      </c>
      <c r="B21">
        <v>4</v>
      </c>
      <c r="C21">
        <v>5</v>
      </c>
      <c r="D21">
        <v>4</v>
      </c>
      <c r="E21">
        <v>4</v>
      </c>
      <c r="F21">
        <v>4</v>
      </c>
      <c r="G21">
        <v>5</v>
      </c>
      <c r="H21">
        <v>4</v>
      </c>
      <c r="I21">
        <v>5</v>
      </c>
      <c r="J21">
        <v>5</v>
      </c>
      <c r="K21">
        <v>4</v>
      </c>
      <c r="L21">
        <v>4</v>
      </c>
      <c r="M21">
        <v>4</v>
      </c>
      <c r="N21">
        <v>4</v>
      </c>
      <c r="O21">
        <v>3</v>
      </c>
      <c r="P21">
        <v>3</v>
      </c>
    </row>
    <row r="22" spans="1:16" x14ac:dyDescent="0.35">
      <c r="A22" t="s">
        <v>40</v>
      </c>
      <c r="B22">
        <v>4</v>
      </c>
      <c r="C22">
        <v>4</v>
      </c>
      <c r="D22">
        <v>4</v>
      </c>
      <c r="E22">
        <v>4</v>
      </c>
      <c r="F22">
        <v>4</v>
      </c>
      <c r="G22">
        <v>5</v>
      </c>
      <c r="H22">
        <v>3</v>
      </c>
      <c r="I22">
        <v>4</v>
      </c>
      <c r="J22">
        <v>5</v>
      </c>
      <c r="K22">
        <v>3</v>
      </c>
      <c r="L22">
        <v>3</v>
      </c>
      <c r="M22">
        <v>4</v>
      </c>
      <c r="N22">
        <v>3</v>
      </c>
      <c r="O22">
        <v>3</v>
      </c>
      <c r="P22">
        <v>3</v>
      </c>
    </row>
    <row r="23" spans="1:16" x14ac:dyDescent="0.35">
      <c r="A23" t="s">
        <v>41</v>
      </c>
      <c r="B23">
        <v>5</v>
      </c>
      <c r="C23">
        <v>4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5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</row>
    <row r="24" spans="1:16" x14ac:dyDescent="0.35">
      <c r="A24" t="s">
        <v>42</v>
      </c>
      <c r="B24">
        <v>4</v>
      </c>
      <c r="C24">
        <v>4</v>
      </c>
      <c r="D24">
        <v>5</v>
      </c>
      <c r="E24">
        <v>4</v>
      </c>
      <c r="F24">
        <v>5</v>
      </c>
      <c r="G24">
        <v>5</v>
      </c>
      <c r="H24">
        <v>3</v>
      </c>
      <c r="I24">
        <v>4</v>
      </c>
      <c r="J24">
        <v>2</v>
      </c>
      <c r="K24">
        <v>3</v>
      </c>
      <c r="L24">
        <v>3</v>
      </c>
      <c r="M24">
        <v>5</v>
      </c>
      <c r="N24">
        <v>3</v>
      </c>
      <c r="O24">
        <v>4</v>
      </c>
      <c r="P24">
        <v>4</v>
      </c>
    </row>
    <row r="25" spans="1:16" x14ac:dyDescent="0.35">
      <c r="A25" t="s">
        <v>43</v>
      </c>
      <c r="B25">
        <v>4</v>
      </c>
      <c r="C25">
        <v>4</v>
      </c>
      <c r="D25">
        <v>5</v>
      </c>
      <c r="E25">
        <v>5</v>
      </c>
      <c r="F25">
        <v>5</v>
      </c>
      <c r="G25">
        <v>5</v>
      </c>
      <c r="H25">
        <v>2</v>
      </c>
      <c r="I25">
        <v>3</v>
      </c>
      <c r="J25">
        <v>1</v>
      </c>
      <c r="K25">
        <v>2</v>
      </c>
      <c r="L25">
        <v>2</v>
      </c>
      <c r="M25">
        <v>5</v>
      </c>
      <c r="N25">
        <v>2</v>
      </c>
      <c r="O25">
        <v>4</v>
      </c>
      <c r="P25">
        <v>4</v>
      </c>
    </row>
    <row r="26" spans="1:16" x14ac:dyDescent="0.35">
      <c r="A26" t="s">
        <v>44</v>
      </c>
      <c r="B26">
        <v>4</v>
      </c>
      <c r="C26">
        <v>4</v>
      </c>
      <c r="D26">
        <v>5</v>
      </c>
      <c r="E26">
        <v>5</v>
      </c>
      <c r="F26">
        <v>5</v>
      </c>
      <c r="G26">
        <v>5</v>
      </c>
      <c r="H26">
        <v>2</v>
      </c>
      <c r="I26">
        <v>3</v>
      </c>
      <c r="J26">
        <v>1</v>
      </c>
      <c r="K26">
        <v>2</v>
      </c>
      <c r="L26">
        <v>2</v>
      </c>
      <c r="M26">
        <v>5</v>
      </c>
      <c r="N26">
        <v>2</v>
      </c>
      <c r="O26">
        <v>4</v>
      </c>
      <c r="P26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"/>
  <sheetViews>
    <sheetView tabSelected="1" workbookViewId="0"/>
  </sheetViews>
  <sheetFormatPr defaultRowHeight="14.5" x14ac:dyDescent="0.35"/>
  <sheetData>
    <row r="1" spans="1:19" x14ac:dyDescent="0.35">
      <c r="A1" t="s">
        <v>45</v>
      </c>
      <c r="B1" t="s">
        <v>46</v>
      </c>
      <c r="R1" t="s">
        <v>16</v>
      </c>
      <c r="S1" t="s">
        <v>17</v>
      </c>
    </row>
    <row r="2" spans="1:19" x14ac:dyDescent="0.35">
      <c r="A2" t="s">
        <v>1</v>
      </c>
      <c r="B2">
        <v>2</v>
      </c>
      <c r="R2" t="s">
        <v>19</v>
      </c>
      <c r="S2" t="s">
        <v>20</v>
      </c>
    </row>
    <row r="3" spans="1:19" x14ac:dyDescent="0.35">
      <c r="A3" t="s">
        <v>2</v>
      </c>
      <c r="B3">
        <v>2</v>
      </c>
    </row>
    <row r="4" spans="1:19" x14ac:dyDescent="0.35">
      <c r="A4" t="s">
        <v>3</v>
      </c>
      <c r="B4">
        <v>2</v>
      </c>
    </row>
    <row r="5" spans="1:19" x14ac:dyDescent="0.35">
      <c r="A5" t="s">
        <v>4</v>
      </c>
      <c r="B5">
        <v>2</v>
      </c>
    </row>
    <row r="6" spans="1:19" x14ac:dyDescent="0.35">
      <c r="A6" t="s">
        <v>5</v>
      </c>
      <c r="B6">
        <v>2</v>
      </c>
    </row>
    <row r="7" spans="1:19" x14ac:dyDescent="0.35">
      <c r="A7" t="s">
        <v>6</v>
      </c>
      <c r="B7">
        <v>2</v>
      </c>
    </row>
    <row r="8" spans="1:19" x14ac:dyDescent="0.35">
      <c r="A8" t="s">
        <v>7</v>
      </c>
      <c r="B8">
        <v>2</v>
      </c>
    </row>
    <row r="9" spans="1:19" x14ac:dyDescent="0.35">
      <c r="A9" t="s">
        <v>8</v>
      </c>
      <c r="B9">
        <v>2</v>
      </c>
    </row>
    <row r="10" spans="1:19" x14ac:dyDescent="0.35">
      <c r="A10" t="s">
        <v>9</v>
      </c>
      <c r="B10">
        <v>2</v>
      </c>
    </row>
    <row r="11" spans="1:19" x14ac:dyDescent="0.35">
      <c r="A11" t="s">
        <v>10</v>
      </c>
      <c r="B11">
        <v>2</v>
      </c>
    </row>
    <row r="12" spans="1:19" x14ac:dyDescent="0.35">
      <c r="A12" t="s">
        <v>11</v>
      </c>
      <c r="B12">
        <v>2</v>
      </c>
    </row>
    <row r="13" spans="1:19" x14ac:dyDescent="0.35">
      <c r="A13" t="s">
        <v>12</v>
      </c>
      <c r="B13">
        <v>2</v>
      </c>
    </row>
    <row r="14" spans="1:19" x14ac:dyDescent="0.35">
      <c r="A14" t="s">
        <v>13</v>
      </c>
      <c r="B14">
        <v>2</v>
      </c>
    </row>
    <row r="15" spans="1:19" x14ac:dyDescent="0.35">
      <c r="A15" t="s">
        <v>14</v>
      </c>
      <c r="B15">
        <v>2</v>
      </c>
    </row>
    <row r="16" spans="1:19" x14ac:dyDescent="0.35">
      <c r="A16" t="s">
        <v>15</v>
      </c>
      <c r="B16">
        <v>2</v>
      </c>
    </row>
  </sheetData>
  <dataValidations count="1">
    <dataValidation type="list" sqref="B2 B3 B4 B5 B6 B7 B8 B9 B10 B11 B12 B13 B14 B15 B16" xr:uid="{00000000-0002-0000-0100-000000000000}">
      <formula1>"1,2,3"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topLeftCell="A8" workbookViewId="0">
      <selection activeCell="F8" sqref="F8"/>
    </sheetView>
  </sheetViews>
  <sheetFormatPr defaultRowHeight="14.5" x14ac:dyDescent="0.35"/>
  <cols>
    <col min="1" max="1" width="32" customWidth="1"/>
    <col min="2" max="2" width="40" customWidth="1"/>
    <col min="3" max="3" width="26.26953125" customWidth="1"/>
    <col min="4" max="4" width="23.26953125" customWidth="1"/>
  </cols>
  <sheetData>
    <row r="1" spans="1:19" x14ac:dyDescent="0.35">
      <c r="A1" t="s">
        <v>0</v>
      </c>
      <c r="B1" t="s">
        <v>47</v>
      </c>
      <c r="C1" t="s">
        <v>48</v>
      </c>
      <c r="D1" t="s">
        <v>49</v>
      </c>
      <c r="R1" t="s">
        <v>16</v>
      </c>
      <c r="S1" t="s">
        <v>17</v>
      </c>
    </row>
    <row r="2" spans="1:19" x14ac:dyDescent="0.35">
      <c r="A2" t="str">
        <f>'CMS Master Scores'!A12</f>
        <v>Drupal (Community)</v>
      </c>
      <c r="B2" t="s">
        <v>57</v>
      </c>
      <c r="C2" cm="1">
        <f t="array" ref="C2">SUMPRODUCT(TRANSPOSE('CMS Master Scores'!B12:P12), 'User Preferences'!B2:B16)</f>
        <v>130</v>
      </c>
      <c r="D2" s="1">
        <f>C2/SUM('User Preferences'!B2:B16)</f>
        <v>4.333333333333333</v>
      </c>
      <c r="R2" t="s">
        <v>19</v>
      </c>
      <c r="S2" t="s">
        <v>20</v>
      </c>
    </row>
    <row r="3" spans="1:19" x14ac:dyDescent="0.35">
      <c r="A3" t="str">
        <f>'CMS Master Scores'!A5</f>
        <v>Acquia Drupal</v>
      </c>
      <c r="B3" t="s">
        <v>51</v>
      </c>
      <c r="C3" cm="1">
        <f t="array" ref="C3">SUMPRODUCT(TRANSPOSE('CMS Master Scores'!B5:P5), 'User Preferences'!B2:B16)</f>
        <v>128</v>
      </c>
      <c r="D3" s="1">
        <f>C3/SUM('User Preferences'!B2:B16)</f>
        <v>4.2666666666666666</v>
      </c>
    </row>
    <row r="4" spans="1:19" x14ac:dyDescent="0.35">
      <c r="A4" t="str">
        <f>'CMS Master Scores'!A19</f>
        <v>Sanity</v>
      </c>
      <c r="B4" t="s">
        <v>61</v>
      </c>
      <c r="C4" cm="1">
        <f t="array" ref="C4">SUMPRODUCT(TRANSPOSE('CMS Master Scores'!B19:P19), 'User Preferences'!B2:B16)</f>
        <v>128</v>
      </c>
      <c r="D4" s="1">
        <f>C4/SUM('User Preferences'!B2:B16)</f>
        <v>4.2666666666666666</v>
      </c>
    </row>
    <row r="5" spans="1:19" x14ac:dyDescent="0.35">
      <c r="A5" t="str">
        <f>'CMS Master Scores'!A20</f>
        <v>Storyblok</v>
      </c>
      <c r="B5" t="s">
        <v>61</v>
      </c>
      <c r="C5" cm="1">
        <f t="array" ref="C5">SUMPRODUCT(TRANSPOSE('CMS Master Scores'!B20:P20), 'User Preferences'!B2:B16)</f>
        <v>128</v>
      </c>
      <c r="D5" s="1">
        <f>C5/SUM('User Preferences'!B2:B16)</f>
        <v>4.2666666666666666</v>
      </c>
    </row>
    <row r="6" spans="1:19" x14ac:dyDescent="0.35">
      <c r="A6" t="str">
        <f>'CMS Master Scores'!A17</f>
        <v>Contentful</v>
      </c>
      <c r="B6" t="s">
        <v>61</v>
      </c>
      <c r="C6" cm="1">
        <f t="array" ref="C6">SUMPRODUCT(TRANSPOSE('CMS Master Scores'!B17:P17), 'User Preferences'!B2:B16)</f>
        <v>126</v>
      </c>
      <c r="D6" s="1">
        <f>C6/SUM('User Preferences'!B2:B16)</f>
        <v>4.2</v>
      </c>
    </row>
    <row r="7" spans="1:19" x14ac:dyDescent="0.35">
      <c r="A7" t="str">
        <f>'CMS Master Scores'!A18</f>
        <v>Strapi</v>
      </c>
      <c r="B7" t="s">
        <v>62</v>
      </c>
      <c r="C7" cm="1">
        <f t="array" ref="C7">SUMPRODUCT(TRANSPOSE('CMS Master Scores'!B18:P18), 'User Preferences'!B2:B16)</f>
        <v>124</v>
      </c>
      <c r="D7" s="1">
        <f>C7/SUM('User Preferences'!B2:B16)</f>
        <v>4.1333333333333337</v>
      </c>
    </row>
    <row r="8" spans="1:19" x14ac:dyDescent="0.35">
      <c r="A8" t="str">
        <f>'CMS Master Scores'!A21</f>
        <v>Hygraph (GraphCMS)</v>
      </c>
      <c r="B8" t="s">
        <v>61</v>
      </c>
      <c r="C8" cm="1">
        <f t="array" ref="C8">SUMPRODUCT(TRANSPOSE('CMS Master Scores'!B21:P21), 'User Preferences'!B2:B16)</f>
        <v>124</v>
      </c>
      <c r="D8" s="1">
        <f>C8/SUM('User Preferences'!B2:B16)</f>
        <v>4.1333333333333337</v>
      </c>
    </row>
    <row r="9" spans="1:19" x14ac:dyDescent="0.35">
      <c r="A9" t="str">
        <f>'CMS Master Scores'!A23</f>
        <v>Directus</v>
      </c>
      <c r="B9" t="s">
        <v>62</v>
      </c>
      <c r="C9" cm="1">
        <f t="array" ref="C9">SUMPRODUCT(TRANSPOSE('CMS Master Scores'!B23:P23), 'User Preferences'!B2:B16)</f>
        <v>124</v>
      </c>
      <c r="D9" s="1">
        <f>C9/SUM('User Preferences'!B2:B16)</f>
        <v>4.1333333333333337</v>
      </c>
    </row>
    <row r="10" spans="1:19" x14ac:dyDescent="0.35">
      <c r="A10" t="str">
        <f>'CMS Master Scores'!A11</f>
        <v>WordPress</v>
      </c>
      <c r="B10" t="s">
        <v>56</v>
      </c>
      <c r="C10" cm="1">
        <f t="array" ref="C10">SUMPRODUCT(TRANSPOSE('CMS Master Scores'!B11:P11), 'User Preferences'!B2:B16)</f>
        <v>122</v>
      </c>
      <c r="D10" s="1">
        <f>C10/SUM('User Preferences'!B2:B16)</f>
        <v>4.0666666666666664</v>
      </c>
    </row>
    <row r="11" spans="1:19" x14ac:dyDescent="0.35">
      <c r="A11" t="str">
        <f>'CMS Master Scores'!A15</f>
        <v>Umbraco</v>
      </c>
      <c r="B11" t="s">
        <v>59</v>
      </c>
      <c r="C11" cm="1">
        <f t="array" ref="C11">SUMPRODUCT(TRANSPOSE('CMS Master Scores'!B15:P15), 'User Preferences'!B2:B16)</f>
        <v>118</v>
      </c>
      <c r="D11" s="1">
        <f>C11/SUM('User Preferences'!B2:B16)</f>
        <v>3.9333333333333331</v>
      </c>
    </row>
    <row r="12" spans="1:19" x14ac:dyDescent="0.35">
      <c r="A12" t="str">
        <f>'CMS Master Scores'!A24</f>
        <v>Webflow CMS</v>
      </c>
      <c r="B12" t="s">
        <v>63</v>
      </c>
      <c r="C12" cm="1">
        <f t="array" ref="C12">SUMPRODUCT(TRANSPOSE('CMS Master Scores'!B24:P24), 'User Preferences'!B2:B16)</f>
        <v>116</v>
      </c>
      <c r="D12" s="1">
        <f>C12/SUM('User Preferences'!B2:B16)</f>
        <v>3.8666666666666667</v>
      </c>
    </row>
    <row r="13" spans="1:19" x14ac:dyDescent="0.35">
      <c r="A13" t="str">
        <f>'CMS Master Scores'!A2</f>
        <v>Adobe Experience Manager (AEM)</v>
      </c>
      <c r="B13" t="s">
        <v>50</v>
      </c>
      <c r="C13" cm="1">
        <f t="array" ref="C13">SUMPRODUCT(TRANSPOSE('CMS Master Scores'!B2:P2), 'User Preferences'!B2:B16)</f>
        <v>114</v>
      </c>
      <c r="D13" s="1">
        <f>C13/SUM('User Preferences'!B2:B16)</f>
        <v>3.8</v>
      </c>
    </row>
    <row r="14" spans="1:19" x14ac:dyDescent="0.35">
      <c r="A14" t="str">
        <f>'CMS Master Scores'!A3</f>
        <v>Sitecore</v>
      </c>
      <c r="B14" t="s">
        <v>50</v>
      </c>
      <c r="C14" cm="1">
        <f t="array" ref="C14">SUMPRODUCT(TRANSPOSE('CMS Master Scores'!B3:P3), 'User Preferences'!B2:B16)</f>
        <v>114</v>
      </c>
      <c r="D14" s="1">
        <f>C14/SUM('User Preferences'!B2:B16)</f>
        <v>3.8</v>
      </c>
    </row>
    <row r="15" spans="1:19" x14ac:dyDescent="0.35">
      <c r="A15" t="str">
        <f>'CMS Master Scores'!A22</f>
        <v>Prismic</v>
      </c>
      <c r="B15" t="s">
        <v>61</v>
      </c>
      <c r="C15" cm="1">
        <f t="array" ref="C15">SUMPRODUCT(TRANSPOSE('CMS Master Scores'!B22:P22), 'User Preferences'!B2:B16)</f>
        <v>112</v>
      </c>
      <c r="D15" s="1">
        <f>C15/SUM('User Preferences'!B2:B16)</f>
        <v>3.7333333333333334</v>
      </c>
    </row>
    <row r="16" spans="1:19" x14ac:dyDescent="0.35">
      <c r="A16" t="str">
        <f>'CMS Master Scores'!A4</f>
        <v>Optimizely (Episerver)</v>
      </c>
      <c r="B16" t="s">
        <v>50</v>
      </c>
      <c r="C16" cm="1">
        <f t="array" ref="C16">SUMPRODUCT(TRANSPOSE('CMS Master Scores'!B4:P4), 'User Preferences'!B2:B16)</f>
        <v>110</v>
      </c>
      <c r="D16" s="1">
        <f>C16/SUM('User Preferences'!B2:B16)</f>
        <v>3.6666666666666665</v>
      </c>
    </row>
    <row r="17" spans="1:4" x14ac:dyDescent="0.35">
      <c r="A17" t="str">
        <f>'CMS Master Scores'!A8</f>
        <v>Liferay DXP</v>
      </c>
      <c r="B17" t="s">
        <v>54</v>
      </c>
      <c r="C17" cm="1">
        <f t="array" ref="C17">SUMPRODUCT(TRANSPOSE('CMS Master Scores'!B8:P8), 'User Preferences'!B2:B16)</f>
        <v>110</v>
      </c>
      <c r="D17" s="1">
        <f>C17/SUM('User Preferences'!B2:B16)</f>
        <v>3.6666666666666665</v>
      </c>
    </row>
    <row r="18" spans="1:4" x14ac:dyDescent="0.35">
      <c r="A18" t="str">
        <f>'CMS Master Scores'!A6</f>
        <v>Bloomreach</v>
      </c>
      <c r="B18" t="s">
        <v>52</v>
      </c>
      <c r="C18" cm="1">
        <f t="array" ref="C18">SUMPRODUCT(TRANSPOSE('CMS Master Scores'!B6:P6), 'User Preferences'!B2:B16)</f>
        <v>108</v>
      </c>
      <c r="D18" s="1">
        <f>C18/SUM('User Preferences'!B2:B16)</f>
        <v>3.6</v>
      </c>
    </row>
    <row r="19" spans="1:4" x14ac:dyDescent="0.35">
      <c r="A19" t="str">
        <f>'CMS Master Scores'!A16</f>
        <v>Ghost</v>
      </c>
      <c r="B19" t="s">
        <v>60</v>
      </c>
      <c r="C19" cm="1">
        <f t="array" ref="C19">SUMPRODUCT(TRANSPOSE('CMS Master Scores'!B16:P16), 'User Preferences'!B2:B16)</f>
        <v>108</v>
      </c>
      <c r="D19" s="1">
        <f>C19/SUM('User Preferences'!B2:B16)</f>
        <v>3.6</v>
      </c>
    </row>
    <row r="20" spans="1:4" x14ac:dyDescent="0.35">
      <c r="A20" t="str">
        <f>'CMS Master Scores'!A25</f>
        <v>Squarespace</v>
      </c>
      <c r="B20" t="s">
        <v>63</v>
      </c>
      <c r="C20" cm="1">
        <f t="array" ref="C20">SUMPRODUCT(TRANSPOSE('CMS Master Scores'!B25:P25), 'User Preferences'!B2:B16)</f>
        <v>106</v>
      </c>
      <c r="D20" s="1">
        <f>C20/SUM('User Preferences'!B2:B16)</f>
        <v>3.5333333333333332</v>
      </c>
    </row>
    <row r="21" spans="1:4" x14ac:dyDescent="0.35">
      <c r="A21" t="str">
        <f>'CMS Master Scores'!A26</f>
        <v>Wix</v>
      </c>
      <c r="B21" t="s">
        <v>63</v>
      </c>
      <c r="C21" cm="1">
        <f t="array" ref="C21">SUMPRODUCT(TRANSPOSE('CMS Master Scores'!B26:P26), 'User Preferences'!B2:B16)</f>
        <v>106</v>
      </c>
      <c r="D21" s="1">
        <f>C21/SUM('User Preferences'!B2:B16)</f>
        <v>3.5333333333333332</v>
      </c>
    </row>
    <row r="22" spans="1:4" x14ac:dyDescent="0.35">
      <c r="A22" t="str">
        <f>'CMS Master Scores'!A9</f>
        <v>Kentico Xperience</v>
      </c>
      <c r="B22" t="s">
        <v>50</v>
      </c>
      <c r="C22" cm="1">
        <f t="array" ref="C22">SUMPRODUCT(TRANSPOSE('CMS Master Scores'!B9:P9), 'User Preferences'!B2:B16)</f>
        <v>104</v>
      </c>
      <c r="D22" s="1">
        <f>C22/SUM('User Preferences'!B2:B16)</f>
        <v>3.4666666666666668</v>
      </c>
    </row>
    <row r="23" spans="1:4" x14ac:dyDescent="0.35">
      <c r="A23" t="str">
        <f>'CMS Master Scores'!A7</f>
        <v>Crownpeak</v>
      </c>
      <c r="B23" t="s">
        <v>53</v>
      </c>
      <c r="C23" cm="1">
        <f t="array" ref="C23">SUMPRODUCT(TRANSPOSE('CMS Master Scores'!B7:P7), 'User Preferences'!B2:B16)</f>
        <v>102</v>
      </c>
      <c r="D23" s="1">
        <f>C23/SUM('User Preferences'!B2:B16)</f>
        <v>3.4</v>
      </c>
    </row>
    <row r="24" spans="1:4" x14ac:dyDescent="0.35">
      <c r="A24" t="str">
        <f>'CMS Master Scores'!A13</f>
        <v>Joomla</v>
      </c>
      <c r="B24" t="s">
        <v>56</v>
      </c>
      <c r="C24" cm="1">
        <f t="array" ref="C24">SUMPRODUCT(TRANSPOSE('CMS Master Scores'!B13:P13), 'User Preferences'!B2:B16)</f>
        <v>102</v>
      </c>
      <c r="D24" s="1">
        <f>C24/SUM('User Preferences'!B2:B16)</f>
        <v>3.4</v>
      </c>
    </row>
    <row r="25" spans="1:4" x14ac:dyDescent="0.35">
      <c r="A25" t="str">
        <f>'CMS Master Scores'!A14</f>
        <v>TYPO3</v>
      </c>
      <c r="B25" t="s">
        <v>58</v>
      </c>
      <c r="C25" cm="1">
        <f t="array" ref="C25">SUMPRODUCT(TRANSPOSE('CMS Master Scores'!B14:P14), 'User Preferences'!B2:B16)</f>
        <v>102</v>
      </c>
      <c r="D25" s="1">
        <f>C25/SUM('User Preferences'!B2:B16)</f>
        <v>3.4</v>
      </c>
    </row>
    <row r="26" spans="1:4" x14ac:dyDescent="0.35">
      <c r="A26" t="str">
        <f>'CMS Master Scores'!A10</f>
        <v>OpenText TeamSite</v>
      </c>
      <c r="B26" t="s">
        <v>55</v>
      </c>
      <c r="C26" cm="1">
        <f t="array" ref="C26">SUMPRODUCT(TRANSPOSE('CMS Master Scores'!B10:P10), 'User Preferences'!B2:B16)</f>
        <v>82</v>
      </c>
      <c r="D26" s="1">
        <f>C26/SUM('User Preferences'!B2:B16)</f>
        <v>2.7333333333333334</v>
      </c>
    </row>
  </sheetData>
  <sortState xmlns:xlrd2="http://schemas.microsoft.com/office/spreadsheetml/2017/richdata2" ref="A2:D26">
    <sortCondition descending="1" ref="D1:D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CMS Master Scores</vt:lpstr>
      <vt:lpstr>User Preferences</vt:lpstr>
      <vt:lpstr>Weighted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Jitendra Sharma</cp:lastModifiedBy>
  <dcterms:created xsi:type="dcterms:W3CDTF">2026-01-27T00:12:56Z</dcterms:created>
  <dcterms:modified xsi:type="dcterms:W3CDTF">2026-01-27T21:51:39Z</dcterms:modified>
</cp:coreProperties>
</file>